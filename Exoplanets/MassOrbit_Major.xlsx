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wpogge/Documents/Teaching/Graphics/Solar System/MassOrbit/"/>
    </mc:Choice>
  </mc:AlternateContent>
  <xr:revisionPtr revIDLastSave="0" documentId="13_ncr:1_{A4287B2D-3E8E-2D48-B798-2979C62983CE}" xr6:coauthVersionLast="45" xr6:coauthVersionMax="45" xr10:uidLastSave="{00000000-0000-0000-0000-000000000000}"/>
  <bookViews>
    <workbookView xWindow="1620" yWindow="8640" windowWidth="31240" windowHeight="17440" xr2:uid="{AA6751B0-6358-A748-8968-7ADCDAAD79DA}"/>
  </bookViews>
  <sheets>
    <sheet name="Sheet1" sheetId="1" r:id="rId1"/>
  </sheets>
  <definedNames>
    <definedName name="a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G18" i="1" l="1"/>
  <c r="G17" i="1"/>
  <c r="G16" i="1"/>
  <c r="G15" i="1"/>
  <c r="G19" i="1"/>
  <c r="G25" i="1"/>
  <c r="G24" i="1"/>
  <c r="G23" i="1"/>
  <c r="G22" i="1"/>
  <c r="G21" i="1"/>
  <c r="G20" i="1"/>
  <c r="G3" i="1"/>
  <c r="G4" i="1"/>
  <c r="G5" i="1"/>
  <c r="G6" i="1"/>
  <c r="G7" i="1"/>
  <c r="G8" i="1"/>
  <c r="G9" i="1"/>
  <c r="G10" i="1"/>
  <c r="G11" i="1"/>
  <c r="G12" i="1"/>
  <c r="G13" i="1"/>
  <c r="G14" i="1"/>
  <c r="G2" i="1"/>
  <c r="E25" i="1" l="1"/>
  <c r="E24" i="1"/>
  <c r="E23" i="1"/>
  <c r="E22" i="1"/>
  <c r="E21" i="1"/>
  <c r="E20" i="1"/>
  <c r="E19" i="1"/>
  <c r="E18" i="1" l="1"/>
  <c r="E17" i="1"/>
  <c r="E16" i="1"/>
  <c r="E15" i="1"/>
  <c r="E14" i="1"/>
  <c r="E13" i="1"/>
  <c r="E12" i="1"/>
  <c r="E11" i="1"/>
  <c r="E10" i="1"/>
  <c r="E3" i="1"/>
  <c r="E4" i="1"/>
  <c r="E5" i="1"/>
  <c r="E7" i="1"/>
  <c r="E8" i="1"/>
  <c r="E9" i="1"/>
  <c r="E2" i="1"/>
</calcChain>
</file>

<file path=xl/sharedStrings.xml><?xml version="1.0" encoding="utf-8"?>
<sst xmlns="http://schemas.openxmlformats.org/spreadsheetml/2006/main" count="56" uniqueCount="38">
  <si>
    <t>P</t>
  </si>
  <si>
    <t>a</t>
  </si>
  <si>
    <t>M</t>
  </si>
  <si>
    <t>ME</t>
  </si>
  <si>
    <t>Ceres</t>
  </si>
  <si>
    <t>Pluto</t>
  </si>
  <si>
    <t>Eris</t>
  </si>
  <si>
    <t>Haumea</t>
  </si>
  <si>
    <t>Makemake</t>
  </si>
  <si>
    <t>Mercury</t>
  </si>
  <si>
    <t>Venus</t>
  </si>
  <si>
    <t>Earth</t>
  </si>
  <si>
    <t>Mars</t>
  </si>
  <si>
    <t>Jupiter</t>
  </si>
  <si>
    <t>Saturn</t>
  </si>
  <si>
    <t>Uranus</t>
  </si>
  <si>
    <t>Neptune</t>
  </si>
  <si>
    <t>Body</t>
  </si>
  <si>
    <t>Type</t>
  </si>
  <si>
    <t>D</t>
  </si>
  <si>
    <t>T</t>
  </si>
  <si>
    <t>G</t>
  </si>
  <si>
    <t>I</t>
  </si>
  <si>
    <t>Quaoar</t>
  </si>
  <si>
    <t>Sedna</t>
  </si>
  <si>
    <t>Orcus</t>
  </si>
  <si>
    <t>Gongong</t>
  </si>
  <si>
    <t>DC</t>
  </si>
  <si>
    <t>Moon</t>
  </si>
  <si>
    <t>GM</t>
  </si>
  <si>
    <t>Io</t>
  </si>
  <si>
    <t>Europa</t>
  </si>
  <si>
    <t>Ganymede</t>
  </si>
  <si>
    <t>Callisto</t>
  </si>
  <si>
    <t>Titan</t>
  </si>
  <si>
    <t>Triton</t>
  </si>
  <si>
    <t>Radius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</si>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</sst>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0"/>
    <numFmt numFmtId="165" formatCode="0.0000000"/>
    <numFmt numFmtId="166" formatCode="0.0000"/>
    <numFmt numFmtId="167" formatCode="0.0000E+00"/>
    <numFmt numFmtId="168" formatCode="0.00000000"/>
    <numFmt numFmtId="169" formatCode="0.00000"/>
    <numFmt numFmtId="170" formatCode="0.00000E+00"/>
    <numFmt numFmtId="171" formatCode="0.000000E+00"/>
  </numFmts>
  <fonts count="2" x14ac:knownFonts="1">
    <font>
      <sz val="12"/>
      <color theme="1"/>
      <name val="Calibri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1" fontId="1" fillId="0" borderId="0" xfId="0" applyNumberFormat="1" applyFont="1"/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168" fontId="1" fillId="0" borderId="0" xfId="0" applyNumberFormat="1" applyFont="1" applyBorder="1" applyAlignment="1">
      <alignment horizontal="right" vertical="center" wrapText="1"/>
    </xf>
    <xf numFmtId="165" fontId="1" fillId="0" borderId="0" xfId="0" applyNumberFormat="1" applyFont="1" applyBorder="1" applyAlignment="1">
      <alignment horizontal="right" vertical="center" wrapText="1"/>
    </xf>
    <xf numFmtId="170" fontId="1" fillId="0" borderId="0" xfId="0" applyNumberFormat="1" applyFont="1" applyBorder="1" applyAlignment="1">
      <alignment horizontal="right" vertical="center" wrapText="1"/>
    </xf>
    <xf numFmtId="167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 wrapText="1"/>
    </xf>
    <xf numFmtId="169" fontId="1" fillId="0" borderId="0" xfId="0" applyNumberFormat="1" applyFont="1" applyBorder="1" applyAlignment="1">
      <alignment horizontal="right" vertical="center" wrapText="1"/>
    </xf>
    <xf numFmtId="166" fontId="1" fillId="0" borderId="0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70" fontId="1" fillId="0" borderId="0" xfId="0" applyNumberFormat="1" applyFont="1" applyBorder="1" applyAlignment="1">
      <alignment horizontal="right" vertical="center"/>
    </xf>
    <xf numFmtId="166" fontId="1" fillId="0" borderId="0" xfId="0" applyNumberFormat="1" applyFont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Alignment="1">
      <alignment horizontal="center"/>
    </xf>
    <xf numFmtId="170" fontId="0" fillId="0" borderId="0" xfId="0" applyNumberFormat="1"/>
    <xf numFmtId="171" fontId="0" fillId="0" borderId="0" xfId="0" applyNumberFormat="1"/>
    <xf numFmtId="0" fontId="1" fillId="0" borderId="0" xfId="0" applyFont="1"/>
    <xf numFmtId="2" fontId="1" fillId="0" borderId="0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 wrapText="1"/>
    </xf>
    <xf numFmtId="2" fontId="1" fillId="0" borderId="0" xfId="0" applyNumberFormat="1" applyFont="1" applyAlignment="1">
      <alignment horizontal="right"/>
    </xf>
    <xf numFmtId="1" fontId="1" fillId="0" borderId="0" xfId="0" applyNumberFormat="1" applyFont="1" applyBorder="1" applyAlignment="1">
      <alignment horizontal="right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0DFE-06DE-CD49-A0D9-EDEA4B432EF2}">
  <dimension ref="A1:Q25"/>
  <sheetViews>
    <sheetView tabSelected="1" workbookViewId="0">
      <selection activeCell="J6" sqref="J6"/>
    </sheetView>
  </sheetViews>
  <sheetFormatPr baseColWidth="10" defaultRowHeight="16" x14ac:dyDescent="0.2"/>
  <cols>
    <col min="1" max="1" width="12.83203125" bestFit="1" customWidth="1"/>
    <col min="2" max="2" width="15.5" bestFit="1" customWidth="1"/>
    <col min="3" max="3" width="17.6640625" bestFit="1" customWidth="1"/>
    <col min="4" max="4" width="16" bestFit="1" customWidth="1"/>
    <col min="5" max="5" width="14.1640625" bestFit="1" customWidth="1"/>
    <col min="6" max="7" width="14.1640625" customWidth="1"/>
    <col min="8" max="8" width="10.83203125" style="17"/>
    <col min="17" max="17" width="12.6640625" bestFit="1" customWidth="1"/>
  </cols>
  <sheetData>
    <row r="1" spans="1:17" ht="18" x14ac:dyDescent="0.2">
      <c r="A1" s="2" t="s">
        <v>17</v>
      </c>
      <c r="B1" s="2" t="s">
        <v>1</v>
      </c>
      <c r="C1" s="2" t="s">
        <v>0</v>
      </c>
      <c r="D1" s="2" t="s">
        <v>2</v>
      </c>
      <c r="E1" s="2" t="s">
        <v>3</v>
      </c>
      <c r="F1" s="2" t="s">
        <v>36</v>
      </c>
      <c r="G1" s="2" t="s">
        <v>37</v>
      </c>
      <c r="H1" s="16" t="s">
        <v>18</v>
      </c>
      <c r="Q1" s="20"/>
    </row>
    <row r="2" spans="1:17" ht="18" x14ac:dyDescent="0.2">
      <c r="A2" s="2" t="s">
        <v>9</v>
      </c>
      <c r="B2" s="4">
        <v>0.38709927</v>
      </c>
      <c r="C2" s="5">
        <v>74.8202572</v>
      </c>
      <c r="D2" s="6">
        <v>3.3010300000000001E+23</v>
      </c>
      <c r="E2" s="7">
        <f t="shared" ref="E2:E25" si="0">D2/$D$4</f>
        <v>5.5273543787266607E-2</v>
      </c>
      <c r="F2" s="24">
        <v>2439.4</v>
      </c>
      <c r="G2" s="7">
        <f>F2/$F$4</f>
        <v>0.38289072103562133</v>
      </c>
      <c r="H2" s="3" t="s">
        <v>20</v>
      </c>
    </row>
    <row r="3" spans="1:17" ht="18" x14ac:dyDescent="0.2">
      <c r="A3" s="2" t="s">
        <v>10</v>
      </c>
      <c r="B3" s="4">
        <v>0.72333566000000005</v>
      </c>
      <c r="C3" s="8">
        <v>224.70079899999999</v>
      </c>
      <c r="D3" s="6">
        <v>4.8673100000000003E+24</v>
      </c>
      <c r="E3" s="7">
        <f t="shared" si="0"/>
        <v>0.81499856835957463</v>
      </c>
      <c r="F3" s="24">
        <v>6051.8</v>
      </c>
      <c r="G3" s="7">
        <f t="shared" ref="G3:G18" si="1">F3/$F$4</f>
        <v>0.94989672278567405</v>
      </c>
      <c r="H3" s="3" t="s">
        <v>20</v>
      </c>
      <c r="Q3" s="21"/>
    </row>
    <row r="4" spans="1:17" ht="18" x14ac:dyDescent="0.2">
      <c r="A4" s="2" t="s">
        <v>11</v>
      </c>
      <c r="B4" s="4">
        <v>1.0000260999999999</v>
      </c>
      <c r="C4" s="9">
        <v>365.25635999999997</v>
      </c>
      <c r="D4" s="6">
        <v>5.9721699999999996E+24</v>
      </c>
      <c r="E4" s="7">
        <f t="shared" si="0"/>
        <v>1</v>
      </c>
      <c r="F4" s="24">
        <v>6371.0083999999997</v>
      </c>
      <c r="G4" s="7">
        <f t="shared" si="1"/>
        <v>1</v>
      </c>
      <c r="H4" s="3" t="s">
        <v>20</v>
      </c>
    </row>
    <row r="5" spans="1:17" ht="18" x14ac:dyDescent="0.2">
      <c r="A5" s="2" t="s">
        <v>12</v>
      </c>
      <c r="B5" s="4">
        <v>1.5237103400000001</v>
      </c>
      <c r="C5" s="8">
        <v>686.97958600000004</v>
      </c>
      <c r="D5" s="6">
        <v>6.4169099999999997E+23</v>
      </c>
      <c r="E5" s="7">
        <f t="shared" si="0"/>
        <v>0.10744687441918097</v>
      </c>
      <c r="F5" s="24">
        <v>3389.5</v>
      </c>
      <c r="G5" s="7">
        <f t="shared" si="1"/>
        <v>0.53201938958360184</v>
      </c>
      <c r="H5" s="3" t="s">
        <v>20</v>
      </c>
    </row>
    <row r="6" spans="1:17" ht="18" x14ac:dyDescent="0.2">
      <c r="A6" s="2" t="s">
        <v>13</v>
      </c>
      <c r="B6" s="4">
        <v>5.2028869999999996</v>
      </c>
      <c r="C6" s="8">
        <v>4332.8201289999997</v>
      </c>
      <c r="D6" s="6">
        <v>1.8981199999999999E+27</v>
      </c>
      <c r="E6" s="7">
        <f>D6/$D$4</f>
        <v>317.82752332904118</v>
      </c>
      <c r="F6" s="24">
        <v>71492</v>
      </c>
      <c r="G6" s="7">
        <f t="shared" si="1"/>
        <v>11.221457501139067</v>
      </c>
      <c r="H6" s="3" t="s">
        <v>21</v>
      </c>
      <c r="J6" s="27"/>
    </row>
    <row r="7" spans="1:17" ht="18" x14ac:dyDescent="0.2">
      <c r="A7" s="2" t="s">
        <v>14</v>
      </c>
      <c r="B7" s="4">
        <v>9.5366759400000003</v>
      </c>
      <c r="C7" s="9">
        <v>10755.698640000001</v>
      </c>
      <c r="D7" s="6">
        <v>5.6831699999999999E+26</v>
      </c>
      <c r="E7" s="7">
        <f t="shared" si="0"/>
        <v>95.160887918461796</v>
      </c>
      <c r="F7" s="24">
        <v>58232</v>
      </c>
      <c r="G7" s="7">
        <f t="shared" si="1"/>
        <v>9.1401543278454955</v>
      </c>
      <c r="H7" s="3" t="s">
        <v>21</v>
      </c>
    </row>
    <row r="8" spans="1:17" ht="18" x14ac:dyDescent="0.2">
      <c r="A8" s="2" t="s">
        <v>15</v>
      </c>
      <c r="B8" s="4">
        <v>19.189164640000001</v>
      </c>
      <c r="C8" s="10">
        <v>30687.152999999998</v>
      </c>
      <c r="D8" s="6">
        <v>8.6809899999999995E+25</v>
      </c>
      <c r="E8" s="7">
        <f t="shared" si="0"/>
        <v>14.535738265990419</v>
      </c>
      <c r="F8" s="24">
        <v>25362</v>
      </c>
      <c r="G8" s="7">
        <f t="shared" si="1"/>
        <v>3.9808454812271163</v>
      </c>
      <c r="H8" s="3" t="s">
        <v>22</v>
      </c>
    </row>
    <row r="9" spans="1:17" ht="18" x14ac:dyDescent="0.2">
      <c r="A9" s="2" t="s">
        <v>16</v>
      </c>
      <c r="B9" s="4">
        <v>30.069922760000001</v>
      </c>
      <c r="C9" s="10">
        <v>60190.029600000002</v>
      </c>
      <c r="D9" s="6">
        <v>1.0240919999999999E+26</v>
      </c>
      <c r="E9" s="7">
        <f t="shared" si="0"/>
        <v>17.147736919746087</v>
      </c>
      <c r="F9" s="24">
        <v>24622</v>
      </c>
      <c r="G9" s="7">
        <f t="shared" si="1"/>
        <v>3.8646943237431612</v>
      </c>
      <c r="H9" s="3" t="s">
        <v>22</v>
      </c>
    </row>
    <row r="10" spans="1:17" ht="18" x14ac:dyDescent="0.2">
      <c r="A10" s="2" t="s">
        <v>4</v>
      </c>
      <c r="B10" s="11">
        <v>2.7666190400000001</v>
      </c>
      <c r="C10" s="12">
        <v>1680.8248880000001</v>
      </c>
      <c r="D10" s="13">
        <v>9.38416E+20</v>
      </c>
      <c r="E10" s="7">
        <f t="shared" si="0"/>
        <v>1.5713149491725789E-4</v>
      </c>
      <c r="F10" s="24">
        <v>469.7</v>
      </c>
      <c r="G10" s="7">
        <f t="shared" si="1"/>
        <v>7.3724592797586017E-2</v>
      </c>
      <c r="H10" s="3" t="s">
        <v>19</v>
      </c>
    </row>
    <row r="11" spans="1:17" ht="18" x14ac:dyDescent="0.2">
      <c r="A11" s="2" t="s">
        <v>5</v>
      </c>
      <c r="B11" s="11">
        <v>39.445069699999998</v>
      </c>
      <c r="C11" s="11">
        <v>90487.276899999997</v>
      </c>
      <c r="D11" s="13">
        <v>1.3029000000000001E+22</v>
      </c>
      <c r="E11" s="7">
        <f t="shared" si="0"/>
        <v>2.1816190764830878E-3</v>
      </c>
      <c r="F11" s="24">
        <v>1188.3</v>
      </c>
      <c r="G11" s="7">
        <f t="shared" si="1"/>
        <v>0.18651678437592392</v>
      </c>
      <c r="H11" s="3" t="s">
        <v>19</v>
      </c>
    </row>
    <row r="12" spans="1:17" ht="18" x14ac:dyDescent="0.2">
      <c r="A12" s="2" t="s">
        <v>6</v>
      </c>
      <c r="B12" s="11">
        <v>68.117585099999999</v>
      </c>
      <c r="C12" s="11">
        <v>205346.49299999999</v>
      </c>
      <c r="D12" s="13">
        <v>1.66E+22</v>
      </c>
      <c r="E12" s="7">
        <f t="shared" si="0"/>
        <v>2.7795591887036035E-3</v>
      </c>
      <c r="F12" s="24">
        <v>1200</v>
      </c>
      <c r="G12" s="7">
        <f t="shared" si="1"/>
        <v>0.18835322835235943</v>
      </c>
      <c r="H12" s="3" t="s">
        <v>19</v>
      </c>
    </row>
    <row r="13" spans="1:17" ht="18" x14ac:dyDescent="0.2">
      <c r="A13" s="2" t="s">
        <v>7</v>
      </c>
      <c r="B13" s="11">
        <v>42.941431899999998</v>
      </c>
      <c r="C13" s="14">
        <v>102781.088</v>
      </c>
      <c r="D13" s="13">
        <v>3.1E+21</v>
      </c>
      <c r="E13" s="7">
        <f t="shared" si="0"/>
        <v>5.19074306324167E-4</v>
      </c>
      <c r="F13" s="24">
        <v>714</v>
      </c>
      <c r="G13" s="7">
        <f t="shared" si="1"/>
        <v>0.11207017086965386</v>
      </c>
      <c r="H13" s="3" t="s">
        <v>19</v>
      </c>
    </row>
    <row r="14" spans="1:17" ht="18" x14ac:dyDescent="0.2">
      <c r="A14" s="2" t="s">
        <v>8</v>
      </c>
      <c r="B14" s="11">
        <v>45.259349499999999</v>
      </c>
      <c r="C14" s="11">
        <v>111214.40089999999</v>
      </c>
      <c r="D14" s="13">
        <v>4.006E+21</v>
      </c>
      <c r="E14" s="7">
        <f t="shared" si="0"/>
        <v>6.7077795843052028E-4</v>
      </c>
      <c r="F14" s="24">
        <v>715</v>
      </c>
      <c r="G14" s="7">
        <f t="shared" si="1"/>
        <v>0.11222713189328082</v>
      </c>
      <c r="H14" s="3" t="s">
        <v>19</v>
      </c>
    </row>
    <row r="15" spans="1:17" ht="18" x14ac:dyDescent="0.2">
      <c r="A15" s="15" t="s">
        <v>23</v>
      </c>
      <c r="B15" s="18">
        <v>43.472037999999998</v>
      </c>
      <c r="C15" s="18">
        <v>104691.859996</v>
      </c>
      <c r="D15" s="1">
        <v>1.4E+21</v>
      </c>
      <c r="E15" s="7">
        <f t="shared" si="0"/>
        <v>2.3442065446897863E-4</v>
      </c>
      <c r="F15" s="26">
        <v>555</v>
      </c>
      <c r="G15" s="7">
        <f t="shared" si="1"/>
        <v>8.711336811296623E-2</v>
      </c>
      <c r="H15" s="19" t="s">
        <v>27</v>
      </c>
    </row>
    <row r="16" spans="1:17" ht="18" x14ac:dyDescent="0.2">
      <c r="A16" s="15" t="s">
        <v>24</v>
      </c>
      <c r="B16" s="18">
        <v>532.29130099999998</v>
      </c>
      <c r="C16" s="18">
        <v>4485620.0049999999</v>
      </c>
      <c r="D16" s="1">
        <v>1E+21</v>
      </c>
      <c r="E16" s="7">
        <f t="shared" si="0"/>
        <v>1.6744332462069903E-4</v>
      </c>
      <c r="F16" s="26">
        <v>530</v>
      </c>
      <c r="G16" s="7">
        <f t="shared" si="1"/>
        <v>8.3189342522292084E-2</v>
      </c>
      <c r="H16" s="19" t="s">
        <v>27</v>
      </c>
    </row>
    <row r="17" spans="1:8" ht="18" x14ac:dyDescent="0.2">
      <c r="A17" s="15" t="s">
        <v>25</v>
      </c>
      <c r="B17" s="18">
        <v>39.116441000000002</v>
      </c>
      <c r="C17" s="18">
        <v>89358.820970000001</v>
      </c>
      <c r="D17" s="1">
        <v>6.4E+20</v>
      </c>
      <c r="E17" s="7">
        <f t="shared" si="0"/>
        <v>1.0716372775724737E-4</v>
      </c>
      <c r="F17" s="26">
        <v>460</v>
      </c>
      <c r="G17" s="7">
        <f t="shared" si="1"/>
        <v>7.2202070868404453E-2</v>
      </c>
      <c r="H17" s="19" t="s">
        <v>27</v>
      </c>
    </row>
    <row r="18" spans="1:8" ht="18" x14ac:dyDescent="0.2">
      <c r="A18" s="15" t="s">
        <v>26</v>
      </c>
      <c r="B18" s="18">
        <v>67.282729000000003</v>
      </c>
      <c r="C18" s="18">
        <v>201582.96419999999</v>
      </c>
      <c r="D18" s="1">
        <v>1.75E+21</v>
      </c>
      <c r="E18" s="7">
        <f t="shared" si="0"/>
        <v>2.9302581808622326E-4</v>
      </c>
      <c r="F18" s="26">
        <v>615</v>
      </c>
      <c r="G18" s="7">
        <f t="shared" si="1"/>
        <v>9.6531029530584206E-2</v>
      </c>
      <c r="H18" s="19" t="s">
        <v>27</v>
      </c>
    </row>
    <row r="19" spans="1:8" ht="18" x14ac:dyDescent="0.2">
      <c r="A19" s="15" t="s">
        <v>28</v>
      </c>
      <c r="B19" s="4">
        <v>1.0000260999999999</v>
      </c>
      <c r="C19" s="9">
        <v>365.25635999999997</v>
      </c>
      <c r="D19" s="22">
        <v>7.3457890715131185E+22</v>
      </c>
      <c r="E19" s="7">
        <f t="shared" si="0"/>
        <v>1.2300033440965544E-2</v>
      </c>
      <c r="F19" s="22">
        <v>1737.4</v>
      </c>
      <c r="G19" s="7">
        <f t="shared" ref="G19:G25" si="2">F19/$F$4</f>
        <v>0.27270408244949107</v>
      </c>
      <c r="H19" s="19" t="s">
        <v>29</v>
      </c>
    </row>
    <row r="20" spans="1:8" ht="18" x14ac:dyDescent="0.2">
      <c r="A20" s="15" t="s">
        <v>30</v>
      </c>
      <c r="B20" s="4">
        <v>5.2028869999999996</v>
      </c>
      <c r="C20" s="8">
        <v>4332.8201289999997</v>
      </c>
      <c r="D20" s="22">
        <v>8.9296487571730379E+22</v>
      </c>
      <c r="E20" s="7">
        <f t="shared" si="0"/>
        <v>1.4952100755961465E-2</v>
      </c>
      <c r="F20" s="25">
        <v>1821.49</v>
      </c>
      <c r="G20" s="7">
        <f t="shared" si="2"/>
        <v>0.28590293492628266</v>
      </c>
      <c r="H20" s="19" t="s">
        <v>29</v>
      </c>
    </row>
    <row r="21" spans="1:8" ht="18" x14ac:dyDescent="0.2">
      <c r="A21" s="15" t="s">
        <v>31</v>
      </c>
      <c r="B21" s="4">
        <v>5.2028869999999996</v>
      </c>
      <c r="C21" s="8">
        <v>4332.8201289999997</v>
      </c>
      <c r="D21" s="22">
        <v>4.7985737830184444E+22</v>
      </c>
      <c r="E21" s="7">
        <f t="shared" si="0"/>
        <v>8.0348914766633309E-3</v>
      </c>
      <c r="F21" s="25">
        <v>1560.8</v>
      </c>
      <c r="G21" s="7">
        <f t="shared" si="2"/>
        <v>0.24498476567696881</v>
      </c>
      <c r="H21" s="19" t="s">
        <v>29</v>
      </c>
    </row>
    <row r="22" spans="1:8" ht="18" x14ac:dyDescent="0.2">
      <c r="A22" s="15" t="s">
        <v>32</v>
      </c>
      <c r="B22" s="4">
        <v>5.2028869999999996</v>
      </c>
      <c r="C22" s="8">
        <v>4332.8201289999997</v>
      </c>
      <c r="D22" s="22">
        <v>1.4814786194806948E+23</v>
      </c>
      <c r="E22" s="7">
        <f t="shared" si="0"/>
        <v>2.4806370540033103E-2</v>
      </c>
      <c r="F22" s="25">
        <v>2631.2</v>
      </c>
      <c r="G22" s="7">
        <f t="shared" si="2"/>
        <v>0.41299584536727341</v>
      </c>
      <c r="H22" s="19" t="s">
        <v>29</v>
      </c>
    </row>
    <row r="23" spans="1:8" ht="18" x14ac:dyDescent="0.2">
      <c r="A23" s="15" t="s">
        <v>33</v>
      </c>
      <c r="B23" s="4">
        <v>5.2028869999999996</v>
      </c>
      <c r="C23" s="8">
        <v>4332.8201289999997</v>
      </c>
      <c r="D23" s="22">
        <v>1.075660878294353E+23</v>
      </c>
      <c r="E23" s="7">
        <f t="shared" si="0"/>
        <v>1.8011223362602757E-2</v>
      </c>
      <c r="F23" s="23">
        <v>2410.3000000000002</v>
      </c>
      <c r="G23" s="7">
        <f t="shared" si="2"/>
        <v>0.37832315524807664</v>
      </c>
      <c r="H23" s="19" t="s">
        <v>29</v>
      </c>
    </row>
    <row r="24" spans="1:8" ht="18" x14ac:dyDescent="0.2">
      <c r="A24" s="15" t="s">
        <v>34</v>
      </c>
      <c r="B24" s="4">
        <v>9.5366759400000003</v>
      </c>
      <c r="C24" s="9">
        <v>10755.698640000001</v>
      </c>
      <c r="D24" s="22">
        <v>1.3451803335181219E+23</v>
      </c>
      <c r="E24" s="7">
        <f t="shared" si="0"/>
        <v>2.2524146725865505E-2</v>
      </c>
      <c r="F24" s="22">
        <v>2574.7600000000002</v>
      </c>
      <c r="G24" s="7">
        <f t="shared" si="2"/>
        <v>0.40413696519376752</v>
      </c>
      <c r="H24" s="19" t="s">
        <v>29</v>
      </c>
    </row>
    <row r="25" spans="1:8" ht="18" x14ac:dyDescent="0.2">
      <c r="A25" s="15" t="s">
        <v>35</v>
      </c>
      <c r="B25" s="4">
        <v>30.069922760000001</v>
      </c>
      <c r="C25" s="10">
        <v>60190.029600000002</v>
      </c>
      <c r="D25" s="22">
        <v>2.1402925550244972E+22</v>
      </c>
      <c r="E25" s="7">
        <f t="shared" si="0"/>
        <v>3.5837770107423222E-3</v>
      </c>
      <c r="F25" s="22">
        <v>1352.6</v>
      </c>
      <c r="G25" s="7">
        <f t="shared" si="2"/>
        <v>0.21230548055783446</v>
      </c>
      <c r="H25" s="1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Pogge, Richard</dc:creator>
  <cp:lastModifiedBy>Pogge, Richard</cp:lastModifiedBy>
  <dcterms:created xsi:type="dcterms:W3CDTF">2023-01-28T18:40:52Z</dcterms:created>
  <dcterms:modified xsi:type="dcterms:W3CDTF">2023-01-30T02:41:04Z</dcterms:modified>
</cp:coreProperties>
</file>