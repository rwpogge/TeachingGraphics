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wpogge/Documents/Teaching/Ast2291/Graphics/Romer Speed of Light/"/>
    </mc:Choice>
  </mc:AlternateContent>
  <xr:revisionPtr revIDLastSave="0" documentId="13_ncr:1_{209F5584-E8E2-3541-9980-28542DFFD9BA}" xr6:coauthVersionLast="47" xr6:coauthVersionMax="47" xr10:uidLastSave="{00000000-0000-0000-0000-000000000000}"/>
  <bookViews>
    <workbookView xWindow="700" yWindow="13120" windowWidth="27860" windowHeight="15640" xr2:uid="{2CE1EE23-C9CF-4141-82C5-9EA8A14DB52A}"/>
  </bookViews>
  <sheets>
    <sheet name="Romer aide memoir Meyer 1915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</calcChain>
</file>

<file path=xl/sharedStrings.xml><?xml version="1.0" encoding="utf-8"?>
<sst xmlns="http://schemas.openxmlformats.org/spreadsheetml/2006/main" count="145" uniqueCount="39">
  <si>
    <t>P_earth</t>
  </si>
  <si>
    <t>d</t>
  </si>
  <si>
    <t>P_jupiter</t>
  </si>
  <si>
    <t>P_syn</t>
  </si>
  <si>
    <t>Year</t>
  </si>
  <si>
    <t>Month</t>
  </si>
  <si>
    <t>Day</t>
  </si>
  <si>
    <t>hours</t>
  </si>
  <si>
    <t>min</t>
  </si>
  <si>
    <t>sec</t>
  </si>
  <si>
    <t>Oct</t>
  </si>
  <si>
    <t>Nov</t>
  </si>
  <si>
    <t>immersion</t>
  </si>
  <si>
    <t>Mar</t>
  </si>
  <si>
    <t>emersion</t>
  </si>
  <si>
    <t>Apr</t>
  </si>
  <si>
    <t>May</t>
  </si>
  <si>
    <t>Jan</t>
  </si>
  <si>
    <t>Feb</t>
  </si>
  <si>
    <t>Aug</t>
  </si>
  <si>
    <t>Dec</t>
  </si>
  <si>
    <t>Jul</t>
  </si>
  <si>
    <t>49?</t>
  </si>
  <si>
    <t>49 cross out and 29?</t>
  </si>
  <si>
    <t>Jun</t>
  </si>
  <si>
    <t>Sep</t>
  </si>
  <si>
    <t>contactu facie?</t>
  </si>
  <si>
    <t>contactu prim?</t>
  </si>
  <si>
    <t>exitu? e facie</t>
  </si>
  <si>
    <t>(immersion?)</t>
  </si>
  <si>
    <t>entry is crammed in "10 11 49. 45."</t>
  </si>
  <si>
    <t>notes</t>
  </si>
  <si>
    <t>type</t>
  </si>
  <si>
    <t>Romer noted a "dub" = dubious</t>
  </si>
  <si>
    <t>Romer noted as "dub" = dubious</t>
  </si>
  <si>
    <t xml:space="preserve">Romer's note says "excludio debet omnium suffragio" = "should according to everyone's opinion be excluded" </t>
  </si>
  <si>
    <t>solus ???</t>
  </si>
  <si>
    <t>** key observation: Romer predicted it would be 10min later than 03:25:45 - note: 35 and 45 inverted in Romer's original!</t>
  </si>
  <si>
    <t>full text is "Emersio e? umbr" - emerge from shadow?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</si>
</sst>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8E11-F618-D84C-9B12-B02857DF03BB}">
  <dimension ref="A3:H66"/>
  <sheetViews>
    <sheetView tabSelected="1" topLeftCell="A3" workbookViewId="0">
      <selection activeCell="H8" sqref="H8"/>
    </sheetView>
  </sheetViews>
  <sheetFormatPr baseColWidth="10" defaultRowHeight="16" x14ac:dyDescent="0.2"/>
  <cols>
    <col min="1" max="1" width="5.1640625" bestFit="1" customWidth="1"/>
    <col min="2" max="2" width="6.5" bestFit="1" customWidth="1"/>
    <col min="3" max="3" width="4.1640625" bestFit="1" customWidth="1"/>
    <col min="4" max="4" width="5.6640625" bestFit="1" customWidth="1"/>
    <col min="5" max="5" width="4.33203125" bestFit="1" customWidth="1"/>
    <col min="6" max="6" width="4.1640625" bestFit="1" customWidth="1"/>
    <col min="7" max="7" width="13.6640625" bestFit="1" customWidth="1"/>
    <col min="8" max="8" width="101.1640625" bestFit="1" customWidth="1"/>
  </cols>
  <sheetData>
    <row r="3" spans="1:8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32</v>
      </c>
      <c r="H3" t="s">
        <v>31</v>
      </c>
    </row>
    <row r="4" spans="1:8" x14ac:dyDescent="0.2">
      <c r="A4">
        <v>1668</v>
      </c>
      <c r="B4" t="s">
        <v>10</v>
      </c>
      <c r="C4">
        <v>22</v>
      </c>
      <c r="D4">
        <v>10</v>
      </c>
      <c r="E4">
        <v>41</v>
      </c>
      <c r="F4">
        <v>33</v>
      </c>
      <c r="G4" t="s">
        <v>12</v>
      </c>
      <c r="H4" t="s">
        <v>35</v>
      </c>
    </row>
    <row r="5" spans="1:8" x14ac:dyDescent="0.2">
      <c r="A5">
        <v>1669</v>
      </c>
      <c r="B5" t="s">
        <v>11</v>
      </c>
      <c r="C5">
        <v>26</v>
      </c>
      <c r="D5">
        <v>11</v>
      </c>
      <c r="E5">
        <v>26</v>
      </c>
      <c r="F5">
        <v>40</v>
      </c>
      <c r="G5" t="s">
        <v>12</v>
      </c>
    </row>
    <row r="6" spans="1:8" x14ac:dyDescent="0.2">
      <c r="A6">
        <v>1671</v>
      </c>
      <c r="B6" t="s">
        <v>13</v>
      </c>
      <c r="C6">
        <v>19</v>
      </c>
      <c r="D6">
        <v>9</v>
      </c>
      <c r="E6">
        <v>1</v>
      </c>
      <c r="F6">
        <v>44</v>
      </c>
      <c r="G6" t="s">
        <v>14</v>
      </c>
      <c r="H6" t="s">
        <v>38</v>
      </c>
    </row>
    <row r="7" spans="1:8" x14ac:dyDescent="0.2">
      <c r="B7" t="s">
        <v>15</v>
      </c>
      <c r="C7">
        <v>27</v>
      </c>
      <c r="D7">
        <v>7</v>
      </c>
      <c r="E7">
        <v>42</v>
      </c>
      <c r="F7">
        <v>30</v>
      </c>
      <c r="G7" t="s">
        <v>14</v>
      </c>
    </row>
    <row r="8" spans="1:8" x14ac:dyDescent="0.2">
      <c r="B8" t="s">
        <v>16</v>
      </c>
      <c r="C8">
        <v>4</v>
      </c>
      <c r="D8">
        <v>9</v>
      </c>
      <c r="E8">
        <v>41</v>
      </c>
      <c r="F8">
        <v>30</v>
      </c>
      <c r="G8" t="s">
        <v>14</v>
      </c>
    </row>
    <row r="9" spans="1:8" x14ac:dyDescent="0.2">
      <c r="B9" t="s">
        <v>10</v>
      </c>
      <c r="C9">
        <v>24</v>
      </c>
      <c r="D9">
        <v>18</v>
      </c>
      <c r="E9">
        <v>15</v>
      </c>
      <c r="F9">
        <v>0</v>
      </c>
      <c r="G9" t="s">
        <v>12</v>
      </c>
    </row>
    <row r="10" spans="1:8" x14ac:dyDescent="0.2">
      <c r="A10">
        <v>1672</v>
      </c>
      <c r="B10" t="s">
        <v>17</v>
      </c>
      <c r="C10">
        <v>3</v>
      </c>
      <c r="D10">
        <v>12</v>
      </c>
      <c r="E10">
        <v>12</v>
      </c>
      <c r="F10">
        <v>36</v>
      </c>
      <c r="G10" t="s">
        <v>12</v>
      </c>
    </row>
    <row r="11" spans="1:8" x14ac:dyDescent="0.2">
      <c r="B11" t="s">
        <v>17</v>
      </c>
      <c r="C11">
        <v>10</v>
      </c>
      <c r="D11">
        <v>14</v>
      </c>
      <c r="E11">
        <v>32</v>
      </c>
      <c r="F11">
        <v>14</v>
      </c>
      <c r="G11" t="s">
        <v>12</v>
      </c>
    </row>
    <row r="12" spans="1:8" x14ac:dyDescent="0.2">
      <c r="B12" t="s">
        <v>17</v>
      </c>
      <c r="C12">
        <v>12</v>
      </c>
      <c r="D12">
        <v>8</v>
      </c>
      <c r="E12">
        <v>59</v>
      </c>
      <c r="F12">
        <v>22</v>
      </c>
      <c r="G12" t="s">
        <v>12</v>
      </c>
    </row>
    <row r="13" spans="1:8" x14ac:dyDescent="0.2">
      <c r="B13" t="s">
        <v>18</v>
      </c>
      <c r="C13">
        <v>11</v>
      </c>
      <c r="D13">
        <v>10</v>
      </c>
      <c r="E13">
        <v>57</v>
      </c>
      <c r="F13">
        <v>6</v>
      </c>
      <c r="G13" t="s">
        <v>12</v>
      </c>
      <c r="H13" t="s">
        <v>33</v>
      </c>
    </row>
    <row r="14" spans="1:8" x14ac:dyDescent="0.2">
      <c r="B14" t="s">
        <v>18</v>
      </c>
      <c r="C14">
        <v>20</v>
      </c>
      <c r="D14">
        <v>7</v>
      </c>
      <c r="E14">
        <v>20</v>
      </c>
      <c r="F14">
        <v>26</v>
      </c>
      <c r="G14" t="s">
        <v>12</v>
      </c>
      <c r="H14" t="s">
        <v>34</v>
      </c>
    </row>
    <row r="15" spans="1:8" x14ac:dyDescent="0.2">
      <c r="B15" t="s">
        <v>13</v>
      </c>
      <c r="C15">
        <v>7</v>
      </c>
      <c r="D15">
        <v>7</v>
      </c>
      <c r="E15">
        <v>58</v>
      </c>
      <c r="F15">
        <v>25</v>
      </c>
      <c r="G15" t="s">
        <v>14</v>
      </c>
    </row>
    <row r="16" spans="1:8" x14ac:dyDescent="0.2">
      <c r="B16" t="s">
        <v>13</v>
      </c>
      <c r="C16">
        <v>14</v>
      </c>
      <c r="D16">
        <v>9</v>
      </c>
      <c r="E16">
        <v>52</v>
      </c>
      <c r="F16">
        <v>30</v>
      </c>
      <c r="G16" t="s">
        <v>14</v>
      </c>
    </row>
    <row r="17" spans="1:7" x14ac:dyDescent="0.2">
      <c r="B17" t="s">
        <v>13</v>
      </c>
      <c r="C17">
        <v>23</v>
      </c>
      <c r="D17">
        <v>6</v>
      </c>
      <c r="E17">
        <v>18</v>
      </c>
      <c r="F17">
        <v>14</v>
      </c>
      <c r="G17" t="s">
        <v>14</v>
      </c>
    </row>
    <row r="18" spans="1:7" x14ac:dyDescent="0.2">
      <c r="B18" t="s">
        <v>13</v>
      </c>
      <c r="C18">
        <v>28</v>
      </c>
      <c r="D18">
        <v>13</v>
      </c>
      <c r="E18">
        <v>45</v>
      </c>
      <c r="F18">
        <v>30</v>
      </c>
      <c r="G18" t="s">
        <v>14</v>
      </c>
    </row>
    <row r="19" spans="1:7" x14ac:dyDescent="0.2">
      <c r="B19" t="s">
        <v>13</v>
      </c>
      <c r="C19">
        <v>30</v>
      </c>
      <c r="D19">
        <v>8</v>
      </c>
      <c r="E19">
        <v>14</v>
      </c>
      <c r="F19">
        <v>46</v>
      </c>
      <c r="G19" t="s">
        <v>14</v>
      </c>
    </row>
    <row r="20" spans="1:7" x14ac:dyDescent="0.2">
      <c r="B20" t="s">
        <v>15</v>
      </c>
      <c r="C20">
        <v>6</v>
      </c>
      <c r="D20">
        <v>10</v>
      </c>
      <c r="E20">
        <v>11</v>
      </c>
      <c r="F20">
        <v>22</v>
      </c>
      <c r="G20" t="s">
        <v>14</v>
      </c>
    </row>
    <row r="21" spans="1:7" x14ac:dyDescent="0.2">
      <c r="B21" t="s">
        <v>15</v>
      </c>
      <c r="C21">
        <v>13</v>
      </c>
      <c r="D21">
        <v>12</v>
      </c>
      <c r="E21">
        <v>8</v>
      </c>
      <c r="F21">
        <v>8</v>
      </c>
      <c r="G21" t="s">
        <v>14</v>
      </c>
    </row>
    <row r="22" spans="1:7" x14ac:dyDescent="0.2">
      <c r="B22" t="s">
        <v>15</v>
      </c>
      <c r="C22">
        <v>22</v>
      </c>
      <c r="D22">
        <v>8</v>
      </c>
      <c r="E22">
        <v>34</v>
      </c>
      <c r="F22">
        <v>28</v>
      </c>
      <c r="G22" t="s">
        <v>14</v>
      </c>
    </row>
    <row r="23" spans="1:7" x14ac:dyDescent="0.2">
      <c r="B23" t="s">
        <v>15</v>
      </c>
      <c r="C23">
        <v>29</v>
      </c>
      <c r="D23">
        <v>20</v>
      </c>
      <c r="E23">
        <v>30</v>
      </c>
      <c r="F23">
        <v>6</v>
      </c>
      <c r="G23" t="s">
        <v>14</v>
      </c>
    </row>
    <row r="24" spans="1:7" x14ac:dyDescent="0.2">
      <c r="B24" t="s">
        <v>11</v>
      </c>
      <c r="C24">
        <v>28</v>
      </c>
      <c r="D24">
        <v>5</v>
      </c>
      <c r="E24">
        <v>37</v>
      </c>
      <c r="F24">
        <v>5</v>
      </c>
      <c r="G24" t="s">
        <v>12</v>
      </c>
    </row>
    <row r="25" spans="1:7" x14ac:dyDescent="0.2">
      <c r="A25">
        <v>1673</v>
      </c>
      <c r="B25" t="s">
        <v>18</v>
      </c>
      <c r="C25">
        <v>4</v>
      </c>
      <c r="D25">
        <v>17</v>
      </c>
      <c r="E25">
        <v>31</v>
      </c>
      <c r="F25">
        <v>10</v>
      </c>
      <c r="G25" t="s">
        <v>12</v>
      </c>
    </row>
    <row r="26" spans="1:7" x14ac:dyDescent="0.2">
      <c r="B26" t="s">
        <v>18</v>
      </c>
      <c r="C26">
        <v>6</v>
      </c>
      <c r="D26">
        <v>12</v>
      </c>
      <c r="E26">
        <v>0</v>
      </c>
      <c r="F26">
        <v>0</v>
      </c>
      <c r="G26" t="s">
        <v>12</v>
      </c>
    </row>
    <row r="27" spans="1:7" x14ac:dyDescent="0.2">
      <c r="B27" t="s">
        <v>18</v>
      </c>
      <c r="C27">
        <v>13</v>
      </c>
      <c r="D27">
        <v>13</v>
      </c>
      <c r="E27">
        <v>53</v>
      </c>
      <c r="F27">
        <v>20</v>
      </c>
      <c r="G27" t="s">
        <v>12</v>
      </c>
    </row>
    <row r="28" spans="1:7" x14ac:dyDescent="0.2">
      <c r="B28" t="s">
        <v>18</v>
      </c>
      <c r="C28">
        <v>27</v>
      </c>
      <c r="D28">
        <v>17</v>
      </c>
      <c r="E28">
        <v>40</v>
      </c>
      <c r="F28">
        <v>10</v>
      </c>
      <c r="G28" t="s">
        <v>12</v>
      </c>
    </row>
    <row r="29" spans="1:7" x14ac:dyDescent="0.2">
      <c r="B29" t="s">
        <v>13</v>
      </c>
      <c r="C29">
        <v>1</v>
      </c>
      <c r="D29">
        <v>12</v>
      </c>
      <c r="E29">
        <v>9</v>
      </c>
      <c r="F29">
        <v>1</v>
      </c>
      <c r="G29" t="s">
        <v>12</v>
      </c>
    </row>
    <row r="30" spans="1:7" x14ac:dyDescent="0.2">
      <c r="B30" t="s">
        <v>13</v>
      </c>
      <c r="C30">
        <v>15</v>
      </c>
      <c r="D30">
        <v>16</v>
      </c>
      <c r="E30">
        <v>0</v>
      </c>
      <c r="F30">
        <v>48</v>
      </c>
      <c r="G30" t="s">
        <v>12</v>
      </c>
    </row>
    <row r="31" spans="1:7" x14ac:dyDescent="0.2">
      <c r="B31" t="s">
        <v>13</v>
      </c>
      <c r="C31">
        <v>17</v>
      </c>
      <c r="D31">
        <v>10</v>
      </c>
      <c r="E31">
        <v>28</v>
      </c>
      <c r="F31">
        <v>16</v>
      </c>
      <c r="G31" t="s">
        <v>12</v>
      </c>
    </row>
    <row r="32" spans="1:7" x14ac:dyDescent="0.2">
      <c r="B32" t="s">
        <v>13</v>
      </c>
      <c r="C32">
        <v>24</v>
      </c>
      <c r="D32">
        <v>12</v>
      </c>
      <c r="E32">
        <v>24</v>
      </c>
      <c r="F32">
        <v>30</v>
      </c>
      <c r="G32" t="s">
        <v>12</v>
      </c>
    </row>
    <row r="33" spans="1:8" x14ac:dyDescent="0.2">
      <c r="B33" t="s">
        <v>15</v>
      </c>
      <c r="C33">
        <v>18</v>
      </c>
      <c r="D33">
        <v>9</v>
      </c>
      <c r="E33">
        <v>22</v>
      </c>
      <c r="F33">
        <v>0</v>
      </c>
      <c r="G33" t="s">
        <v>14</v>
      </c>
    </row>
    <row r="34" spans="1:8" x14ac:dyDescent="0.2">
      <c r="B34" t="s">
        <v>15</v>
      </c>
      <c r="C34">
        <v>28</v>
      </c>
      <c r="D34">
        <v>11</v>
      </c>
      <c r="E34">
        <v>18</v>
      </c>
      <c r="F34">
        <v>3</v>
      </c>
      <c r="G34" t="s">
        <v>14</v>
      </c>
    </row>
    <row r="35" spans="1:8" x14ac:dyDescent="0.2">
      <c r="B35" t="s">
        <v>16</v>
      </c>
      <c r="C35">
        <v>2</v>
      </c>
      <c r="D35">
        <v>13</v>
      </c>
      <c r="E35">
        <v>12</v>
      </c>
      <c r="F35">
        <v>40</v>
      </c>
      <c r="G35" t="s">
        <v>14</v>
      </c>
    </row>
    <row r="36" spans="1:8" x14ac:dyDescent="0.2">
      <c r="B36" t="s">
        <v>16</v>
      </c>
      <c r="C36">
        <v>11</v>
      </c>
      <c r="D36">
        <v>9</v>
      </c>
      <c r="E36">
        <v>17</v>
      </c>
      <c r="F36">
        <v>39</v>
      </c>
      <c r="G36" t="s">
        <v>14</v>
      </c>
    </row>
    <row r="37" spans="1:8" x14ac:dyDescent="0.2">
      <c r="B37" t="s">
        <v>16</v>
      </c>
      <c r="C37">
        <v>18</v>
      </c>
      <c r="D37">
        <v>11</v>
      </c>
      <c r="E37">
        <v>32</v>
      </c>
      <c r="F37">
        <v>44</v>
      </c>
      <c r="G37" t="s">
        <v>14</v>
      </c>
    </row>
    <row r="38" spans="1:8" x14ac:dyDescent="0.2">
      <c r="B38" t="s">
        <v>19</v>
      </c>
      <c r="C38">
        <v>4</v>
      </c>
      <c r="D38">
        <v>8</v>
      </c>
      <c r="E38">
        <v>30</v>
      </c>
      <c r="F38">
        <v>41</v>
      </c>
      <c r="G38" t="s">
        <v>14</v>
      </c>
    </row>
    <row r="39" spans="1:8" x14ac:dyDescent="0.2">
      <c r="B39" t="s">
        <v>20</v>
      </c>
      <c r="C39">
        <v>17</v>
      </c>
      <c r="D39">
        <v>6</v>
      </c>
      <c r="E39">
        <v>39</v>
      </c>
      <c r="F39">
        <v>14</v>
      </c>
      <c r="G39" t="s">
        <v>12</v>
      </c>
    </row>
    <row r="40" spans="1:8" x14ac:dyDescent="0.2">
      <c r="A40">
        <v>1674</v>
      </c>
      <c r="B40" t="s">
        <v>16</v>
      </c>
      <c r="C40">
        <v>23</v>
      </c>
      <c r="D40">
        <v>8</v>
      </c>
      <c r="E40">
        <v>47</v>
      </c>
      <c r="F40">
        <v>48</v>
      </c>
      <c r="G40" t="s">
        <v>29</v>
      </c>
    </row>
    <row r="41" spans="1:8" x14ac:dyDescent="0.2">
      <c r="B41" t="s">
        <v>16</v>
      </c>
      <c r="C41">
        <v>30</v>
      </c>
      <c r="D41">
        <v>10</v>
      </c>
      <c r="E41">
        <v>41</v>
      </c>
      <c r="F41">
        <v>12</v>
      </c>
      <c r="G41" t="s">
        <v>29</v>
      </c>
    </row>
    <row r="42" spans="1:8" x14ac:dyDescent="0.2">
      <c r="B42" t="s">
        <v>21</v>
      </c>
      <c r="C42">
        <v>22</v>
      </c>
      <c r="D42">
        <v>10</v>
      </c>
      <c r="E42">
        <v>11</v>
      </c>
      <c r="F42" t="s">
        <v>22</v>
      </c>
      <c r="G42" t="s">
        <v>29</v>
      </c>
      <c r="H42" t="s">
        <v>30</v>
      </c>
    </row>
    <row r="43" spans="1:8" x14ac:dyDescent="0.2">
      <c r="B43" t="s">
        <v>21</v>
      </c>
      <c r="C43">
        <v>31</v>
      </c>
      <c r="D43">
        <v>9</v>
      </c>
      <c r="E43">
        <v>19</v>
      </c>
      <c r="F43">
        <v>2</v>
      </c>
      <c r="G43" t="s">
        <v>14</v>
      </c>
    </row>
    <row r="44" spans="1:8" x14ac:dyDescent="0.2">
      <c r="A44">
        <v>1675</v>
      </c>
      <c r="B44" t="s">
        <v>21</v>
      </c>
      <c r="C44">
        <v>20</v>
      </c>
      <c r="D44">
        <v>8</v>
      </c>
      <c r="E44">
        <v>22</v>
      </c>
      <c r="F44">
        <v>42</v>
      </c>
      <c r="G44" t="s">
        <v>14</v>
      </c>
    </row>
    <row r="45" spans="1:8" x14ac:dyDescent="0.2">
      <c r="B45" t="s">
        <v>21</v>
      </c>
      <c r="C45">
        <v>27</v>
      </c>
      <c r="D45">
        <v>10</v>
      </c>
      <c r="E45">
        <v>17</v>
      </c>
      <c r="F45">
        <v>31</v>
      </c>
      <c r="G45" t="s">
        <v>14</v>
      </c>
    </row>
    <row r="46" spans="1:8" x14ac:dyDescent="0.2">
      <c r="B46" t="s">
        <v>10</v>
      </c>
      <c r="C46">
        <v>29</v>
      </c>
      <c r="D46">
        <v>6</v>
      </c>
      <c r="E46">
        <v>7</v>
      </c>
      <c r="F46">
        <v>22</v>
      </c>
      <c r="G46" t="s">
        <v>14</v>
      </c>
    </row>
    <row r="47" spans="1:8" x14ac:dyDescent="0.2">
      <c r="A47">
        <v>1676</v>
      </c>
      <c r="B47" t="s">
        <v>16</v>
      </c>
      <c r="C47">
        <v>12</v>
      </c>
      <c r="D47">
        <v>14</v>
      </c>
      <c r="E47">
        <v>29</v>
      </c>
      <c r="F47">
        <v>42</v>
      </c>
      <c r="G47" t="s">
        <v>12</v>
      </c>
      <c r="H47" t="s">
        <v>23</v>
      </c>
    </row>
    <row r="48" spans="1:8" x14ac:dyDescent="0.2">
      <c r="B48" t="s">
        <v>24</v>
      </c>
      <c r="C48">
        <v>13</v>
      </c>
      <c r="D48">
        <v>10</v>
      </c>
      <c r="E48">
        <v>56</v>
      </c>
      <c r="F48">
        <v>11</v>
      </c>
      <c r="G48" t="s">
        <v>12</v>
      </c>
    </row>
    <row r="49" spans="1:8" x14ac:dyDescent="0.2">
      <c r="B49" t="s">
        <v>19</v>
      </c>
      <c r="C49">
        <v>7</v>
      </c>
      <c r="D49">
        <v>9</v>
      </c>
      <c r="E49">
        <v>49</v>
      </c>
      <c r="F49">
        <v>50</v>
      </c>
      <c r="G49" t="s">
        <v>14</v>
      </c>
    </row>
    <row r="50" spans="1:8" x14ac:dyDescent="0.2">
      <c r="B50" t="s">
        <v>19</v>
      </c>
      <c r="C50">
        <v>14</v>
      </c>
      <c r="D50">
        <v>11</v>
      </c>
      <c r="E50">
        <v>45</v>
      </c>
      <c r="F50">
        <v>55</v>
      </c>
      <c r="G50" t="s">
        <v>14</v>
      </c>
    </row>
    <row r="51" spans="1:8" x14ac:dyDescent="0.2">
      <c r="B51" t="s">
        <v>19</v>
      </c>
      <c r="C51">
        <v>23</v>
      </c>
      <c r="D51">
        <v>8</v>
      </c>
      <c r="E51">
        <v>11</v>
      </c>
      <c r="F51">
        <v>13</v>
      </c>
      <c r="G51" t="s">
        <v>14</v>
      </c>
    </row>
    <row r="52" spans="1:8" x14ac:dyDescent="0.2">
      <c r="B52" t="s">
        <v>11</v>
      </c>
      <c r="C52">
        <v>9</v>
      </c>
      <c r="D52">
        <v>3</v>
      </c>
      <c r="E52">
        <v>35</v>
      </c>
      <c r="F52">
        <v>45</v>
      </c>
      <c r="G52" t="s">
        <v>14</v>
      </c>
      <c r="H52" t="s">
        <v>37</v>
      </c>
    </row>
    <row r="53" spans="1:8" x14ac:dyDescent="0.2">
      <c r="A53">
        <v>1677</v>
      </c>
      <c r="B53" t="s">
        <v>24</v>
      </c>
      <c r="C53">
        <v>9</v>
      </c>
      <c r="D53">
        <v>12</v>
      </c>
      <c r="E53">
        <v>23</v>
      </c>
      <c r="F53">
        <v>24</v>
      </c>
      <c r="G53" t="s">
        <v>12</v>
      </c>
    </row>
    <row r="54" spans="1:8" x14ac:dyDescent="0.2">
      <c r="B54" t="s">
        <v>24</v>
      </c>
      <c r="C54">
        <v>16</v>
      </c>
      <c r="D54">
        <v>14</v>
      </c>
      <c r="E54">
        <v>16</v>
      </c>
      <c r="F54">
        <v>14</v>
      </c>
      <c r="G54" t="s">
        <v>12</v>
      </c>
    </row>
    <row r="55" spans="1:8" x14ac:dyDescent="0.2">
      <c r="B55" t="s">
        <v>21</v>
      </c>
      <c r="C55">
        <v>9</v>
      </c>
      <c r="D55">
        <v>14</v>
      </c>
      <c r="E55">
        <v>21</v>
      </c>
      <c r="F55">
        <v>54</v>
      </c>
      <c r="G55" t="s">
        <v>12</v>
      </c>
    </row>
    <row r="56" spans="1:8" x14ac:dyDescent="0.2">
      <c r="B56" t="s">
        <v>21</v>
      </c>
      <c r="C56">
        <v>19</v>
      </c>
      <c r="D56">
        <v>10</v>
      </c>
      <c r="E56">
        <v>47</v>
      </c>
      <c r="F56">
        <v>0</v>
      </c>
      <c r="G56" t="s">
        <v>28</v>
      </c>
    </row>
    <row r="57" spans="1:8" x14ac:dyDescent="0.2">
      <c r="B57" s="2" t="s">
        <v>21</v>
      </c>
      <c r="C57">
        <v>25</v>
      </c>
      <c r="D57">
        <v>12</v>
      </c>
      <c r="E57">
        <v>37</v>
      </c>
      <c r="F57">
        <v>10</v>
      </c>
      <c r="G57" t="s">
        <v>12</v>
      </c>
    </row>
    <row r="58" spans="1:8" x14ac:dyDescent="0.2">
      <c r="B58" t="s">
        <v>19</v>
      </c>
      <c r="C58">
        <v>26</v>
      </c>
      <c r="D58">
        <v>11</v>
      </c>
      <c r="E58">
        <v>31</v>
      </c>
      <c r="F58">
        <v>50</v>
      </c>
      <c r="G58" t="s">
        <v>14</v>
      </c>
    </row>
    <row r="59" spans="1:8" x14ac:dyDescent="0.2">
      <c r="B59" t="s">
        <v>25</v>
      </c>
      <c r="C59">
        <v>11</v>
      </c>
      <c r="D59">
        <v>9</v>
      </c>
      <c r="E59">
        <v>54</v>
      </c>
      <c r="F59">
        <v>30</v>
      </c>
      <c r="G59" t="s">
        <v>14</v>
      </c>
    </row>
    <row r="60" spans="1:8" x14ac:dyDescent="0.2">
      <c r="B60" t="s">
        <v>25</v>
      </c>
      <c r="C60">
        <v>18</v>
      </c>
      <c r="D60">
        <v>8</v>
      </c>
      <c r="E60">
        <v>41</v>
      </c>
      <c r="F60">
        <v>0</v>
      </c>
      <c r="G60" t="s">
        <v>27</v>
      </c>
    </row>
    <row r="61" spans="1:8" x14ac:dyDescent="0.2">
      <c r="C61">
        <v>18</v>
      </c>
      <c r="D61">
        <v>8</v>
      </c>
      <c r="E61">
        <v>46</v>
      </c>
      <c r="F61">
        <v>0</v>
      </c>
      <c r="G61" t="s">
        <v>36</v>
      </c>
    </row>
    <row r="62" spans="1:8" x14ac:dyDescent="0.2">
      <c r="C62">
        <v>18</v>
      </c>
      <c r="D62">
        <v>11</v>
      </c>
      <c r="E62">
        <v>51</v>
      </c>
      <c r="F62">
        <v>46</v>
      </c>
      <c r="G62" t="s">
        <v>14</v>
      </c>
    </row>
    <row r="63" spans="1:8" x14ac:dyDescent="0.2">
      <c r="B63" s="2" t="s">
        <v>25</v>
      </c>
      <c r="C63">
        <v>19</v>
      </c>
      <c r="D63">
        <v>8</v>
      </c>
      <c r="E63">
        <v>14</v>
      </c>
      <c r="F63">
        <v>0</v>
      </c>
      <c r="G63" t="s">
        <v>26</v>
      </c>
    </row>
    <row r="64" spans="1:8" x14ac:dyDescent="0.2">
      <c r="C64">
        <v>19</v>
      </c>
      <c r="D64">
        <v>8</v>
      </c>
      <c r="E64">
        <v>18</v>
      </c>
      <c r="F64">
        <v>30</v>
      </c>
      <c r="G64" t="s">
        <v>36</v>
      </c>
    </row>
    <row r="65" spans="1:7" x14ac:dyDescent="0.2">
      <c r="B65" t="s">
        <v>11</v>
      </c>
      <c r="C65">
        <v>5</v>
      </c>
      <c r="D65">
        <v>6</v>
      </c>
      <c r="E65">
        <v>59</v>
      </c>
      <c r="F65">
        <v>0</v>
      </c>
      <c r="G65" t="s">
        <v>14</v>
      </c>
    </row>
    <row r="66" spans="1:7" x14ac:dyDescent="0.2">
      <c r="A66">
        <v>1678</v>
      </c>
      <c r="B66" t="s">
        <v>17</v>
      </c>
      <c r="C66">
        <v>6</v>
      </c>
      <c r="D66">
        <v>5</v>
      </c>
      <c r="E66">
        <v>25</v>
      </c>
      <c r="F66">
        <v>47</v>
      </c>
      <c r="G6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7457-8640-044D-9072-33A126D54595}">
  <dimension ref="A1:C5"/>
  <sheetViews>
    <sheetView workbookViewId="0">
      <selection activeCell="E7" sqref="E7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t="s">
        <v>0</v>
      </c>
      <c r="B1">
        <v>365.25635999999997</v>
      </c>
      <c r="C1" t="s">
        <v>1</v>
      </c>
    </row>
    <row r="2" spans="1:3" x14ac:dyDescent="0.2">
      <c r="A2" t="s">
        <v>2</v>
      </c>
      <c r="B2" s="1">
        <v>4332.8291289999997</v>
      </c>
      <c r="C2" t="s">
        <v>1</v>
      </c>
    </row>
    <row r="4" spans="1:3" x14ac:dyDescent="0.2">
      <c r="A4" t="s">
        <v>3</v>
      </c>
      <c r="B4">
        <f>1/((1/B1)-(1/B2))</f>
        <v>398.88200880040631</v>
      </c>
      <c r="C4" t="s">
        <v>1</v>
      </c>
    </row>
    <row r="5" spans="1:3" x14ac:dyDescent="0.2">
      <c r="B5">
        <f>B4-365.25</f>
        <v>33.632008800406311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Romer aide memoir Meyer 1915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Pogge, Rick</dc:creator>
  <cp:lastModifiedBy>Pogge, Richard</cp:lastModifiedBy>
  <dcterms:created xsi:type="dcterms:W3CDTF">2023-12-16T23:04:39Z</dcterms:created>
  <dcterms:modified xsi:type="dcterms:W3CDTF">2023-12-18T00:07:01Z</dcterms:modified>
</cp:coreProperties>
</file>